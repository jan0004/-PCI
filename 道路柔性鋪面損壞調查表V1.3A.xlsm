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3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鄭至傑\Desktop\"/>
    </mc:Choice>
  </mc:AlternateContent>
  <xr:revisionPtr revIDLastSave="0" documentId="13_ncr:1_{877BD576-B262-4966-9191-280FF58555FA}" xr6:coauthVersionLast="36" xr6:coauthVersionMax="36" xr10:uidLastSave="{00000000-0000-0000-0000-000000000000}"/>
  <bookViews>
    <workbookView xWindow="0" yWindow="0" windowWidth="23040" windowHeight="10956" xr2:uid="{00000000-000D-0000-FFFF-FFFF00000000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1" l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I26" i="1"/>
  <c r="I19" i="1"/>
  <c r="I25" i="1"/>
  <c r="I28" i="1"/>
  <c r="J14" i="1"/>
  <c r="I15" i="1"/>
  <c r="I24" i="1"/>
  <c r="I14" i="1"/>
  <c r="I30" i="1"/>
  <c r="I23" i="1"/>
  <c r="I16" i="1"/>
  <c r="I17" i="1"/>
  <c r="J15" i="1"/>
  <c r="I31" i="1"/>
  <c r="I18" i="1"/>
  <c r="I29" i="1"/>
  <c r="I27" i="1"/>
  <c r="I20" i="1"/>
  <c r="I21" i="1"/>
  <c r="J16" i="1"/>
  <c r="I22" i="1"/>
  <c r="I13" i="1"/>
  <c r="J13" i="1"/>
  <c r="H17" i="1" l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G13" i="1"/>
  <c r="G14" i="1"/>
  <c r="H14" i="1" s="1"/>
  <c r="G15" i="1" l="1"/>
  <c r="H15" i="1" s="1"/>
  <c r="G16" i="1"/>
  <c r="H16" i="1" s="1"/>
  <c r="G27" i="1" l="1"/>
  <c r="G28" i="1"/>
  <c r="J12" i="1"/>
  <c r="G17" i="1" l="1"/>
  <c r="G18" i="1"/>
  <c r="G19" i="1"/>
  <c r="G20" i="1"/>
  <c r="G21" i="1"/>
  <c r="G22" i="1"/>
  <c r="G23" i="1"/>
  <c r="G24" i="1"/>
  <c r="G25" i="1"/>
  <c r="G26" i="1"/>
  <c r="G29" i="1"/>
  <c r="G30" i="1"/>
  <c r="G31" i="1"/>
  <c r="H32" i="1" l="1"/>
  <c r="K32" i="1"/>
  <c r="K33" i="1" s="1"/>
  <c r="K34" i="1" s="1"/>
  <c r="T14" i="1" l="1"/>
  <c r="U14" i="1"/>
  <c r="V14" i="1"/>
  <c r="R14" i="1"/>
  <c r="N14" i="1"/>
  <c r="Q14" i="1"/>
  <c r="P14" i="1"/>
  <c r="W14" i="1"/>
  <c r="S14" i="1"/>
  <c r="O14" i="1"/>
  <c r="V15" i="1" l="1"/>
  <c r="U15" i="1"/>
  <c r="U16" i="1" s="1"/>
  <c r="R15" i="1"/>
  <c r="P15" i="1"/>
  <c r="O15" i="1"/>
  <c r="Q15" i="1"/>
  <c r="N15" i="1"/>
  <c r="X14" i="1"/>
  <c r="S15" i="1"/>
  <c r="T15" i="1"/>
  <c r="Y14" i="1"/>
  <c r="W15" i="1" s="1"/>
  <c r="Z14" i="1"/>
  <c r="V16" i="1" l="1"/>
  <c r="U17" i="1" s="1"/>
  <c r="Q16" i="1"/>
  <c r="R16" i="1"/>
  <c r="O16" i="1"/>
  <c r="S16" i="1"/>
  <c r="T16" i="1"/>
  <c r="T17" i="1" s="1"/>
  <c r="N16" i="1"/>
  <c r="Y15" i="1"/>
  <c r="W16" i="1" s="1"/>
  <c r="X15" i="1"/>
  <c r="P16" i="1"/>
  <c r="Z15" i="1"/>
  <c r="T18" i="1" l="1"/>
  <c r="V17" i="1"/>
  <c r="U18" i="1" s="1"/>
  <c r="P17" i="1"/>
  <c r="Q17" i="1"/>
  <c r="N17" i="1"/>
  <c r="X16" i="1"/>
  <c r="Y16" i="1"/>
  <c r="W17" i="1" s="1"/>
  <c r="V18" i="1" s="1"/>
  <c r="S17" i="1"/>
  <c r="S18" i="1" s="1"/>
  <c r="S19" i="1" s="1"/>
  <c r="O17" i="1"/>
  <c r="R17" i="1"/>
  <c r="Z16" i="1"/>
  <c r="T19" i="1" l="1"/>
  <c r="U19" i="1"/>
  <c r="O18" i="1"/>
  <c r="P18" i="1"/>
  <c r="S20" i="1"/>
  <c r="N18" i="1"/>
  <c r="Y17" i="1"/>
  <c r="W18" i="1" s="1"/>
  <c r="V19" i="1" s="1"/>
  <c r="X17" i="1"/>
  <c r="R18" i="1"/>
  <c r="R19" i="1" s="1"/>
  <c r="R20" i="1" s="1"/>
  <c r="Q18" i="1"/>
  <c r="Z17" i="1"/>
  <c r="O19" i="1" l="1"/>
  <c r="T20" i="1"/>
  <c r="U20" i="1"/>
  <c r="S21" i="1"/>
  <c r="R21" i="1"/>
  <c r="N19" i="1"/>
  <c r="Y18" i="1"/>
  <c r="W19" i="1" s="1"/>
  <c r="V20" i="1" s="1"/>
  <c r="X18" i="1"/>
  <c r="Q19" i="1"/>
  <c r="Q20" i="1" s="1"/>
  <c r="Q21" i="1" s="1"/>
  <c r="Q22" i="1" s="1"/>
  <c r="P19" i="1"/>
  <c r="Z18" i="1"/>
  <c r="T21" i="1" l="1"/>
  <c r="S22" i="1" s="1"/>
  <c r="U21" i="1"/>
  <c r="R22" i="1"/>
  <c r="P20" i="1"/>
  <c r="P21" i="1" s="1"/>
  <c r="P22" i="1" s="1"/>
  <c r="P23" i="1" s="1"/>
  <c r="O20" i="1"/>
  <c r="N20" i="1"/>
  <c r="Y19" i="1"/>
  <c r="W20" i="1" s="1"/>
  <c r="V21" i="1" s="1"/>
  <c r="X19" i="1"/>
  <c r="Z19" i="1"/>
  <c r="R23" i="1" l="1"/>
  <c r="U22" i="1"/>
  <c r="T22" i="1"/>
  <c r="Q23" i="1"/>
  <c r="N21" i="1"/>
  <c r="O21" i="1"/>
  <c r="O22" i="1" s="1"/>
  <c r="O23" i="1" s="1"/>
  <c r="Y20" i="1"/>
  <c r="W21" i="1" s="1"/>
  <c r="V22" i="1" s="1"/>
  <c r="X20" i="1"/>
  <c r="Z20" i="1"/>
  <c r="T23" i="1" l="1"/>
  <c r="S23" i="1"/>
  <c r="U23" i="1"/>
  <c r="Y21" i="1"/>
  <c r="W22" i="1" s="1"/>
  <c r="V23" i="1" s="1"/>
  <c r="X21" i="1"/>
  <c r="N22" i="1"/>
  <c r="N23" i="1" s="1"/>
  <c r="Z24" i="1"/>
  <c r="W26" i="1" s="1"/>
  <c r="Z21" i="1"/>
  <c r="Y22" i="1" l="1"/>
  <c r="W23" i="1" s="1"/>
  <c r="X23" i="1" s="1"/>
  <c r="X22" i="1"/>
  <c r="Z22" i="1"/>
  <c r="Y23" i="1" l="1"/>
  <c r="Z23" i="1"/>
</calcChain>
</file>

<file path=xl/sharedStrings.xml><?xml version="1.0" encoding="utf-8"?>
<sst xmlns="http://schemas.openxmlformats.org/spreadsheetml/2006/main" count="54" uniqueCount="54">
  <si>
    <t>草圖：</t>
  </si>
  <si>
    <t>破壞種類及型式</t>
  </si>
  <si>
    <t>1.龜裂</t>
  </si>
  <si>
    <t xml:space="preserve">2.縱向及橫向裂縫 </t>
  </si>
  <si>
    <t xml:space="preserve">3.塊狀裂縫 </t>
  </si>
  <si>
    <t xml:space="preserve">4.坑洞及人孔高差與薄層剝離 </t>
  </si>
  <si>
    <t xml:space="preserve">5.車轍 </t>
  </si>
  <si>
    <t>6.補綻及管線回填</t>
  </si>
  <si>
    <t xml:space="preserve">7.推擠  </t>
  </si>
  <si>
    <t>8.隆起與凹陷</t>
  </si>
  <si>
    <t xml:space="preserve">9.冒油 </t>
  </si>
  <si>
    <t>嚴重程度  輕級：L、中級：M、重級：H</t>
  </si>
  <si>
    <t>11.車道與路肩分離</t>
  </si>
  <si>
    <t>10.波浪狀路面</t>
  </si>
  <si>
    <t>12.滑溜裂縫</t>
  </si>
  <si>
    <t>13.骨材剝落</t>
  </si>
  <si>
    <t>破壞類型及
嚴重程度</t>
  </si>
  <si>
    <t>數量</t>
  </si>
  <si>
    <t>總數</t>
  </si>
  <si>
    <t>密度(%)</t>
  </si>
  <si>
    <t>折減值</t>
  </si>
  <si>
    <r>
      <t>樣本單位編碼：</t>
    </r>
    <r>
      <rPr>
        <u/>
        <sz val="12"/>
        <color theme="1"/>
        <rFont val="Times New Roman"/>
        <family val="1"/>
      </rPr>
      <t>                    </t>
    </r>
    <r>
      <rPr>
        <sz val="12"/>
        <color theme="1"/>
        <rFont val="Times New Roman"/>
        <family val="1"/>
      </rPr>
      <t xml:space="preserve">      </t>
    </r>
  </si>
  <si>
    <r>
      <t>調查日期：民國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Malgun Gothic"/>
        <family val="2"/>
      </rPr>
      <t>年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SimSun"/>
        <charset val="134"/>
      </rPr>
      <t>月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SimSun"/>
        <charset val="134"/>
      </rPr>
      <t>日</t>
    </r>
  </si>
  <si>
    <r>
      <t>區編碼：</t>
    </r>
    <r>
      <rPr>
        <u/>
        <sz val="12"/>
        <color theme="1"/>
        <rFont val="Times New Roman"/>
        <family val="1"/>
      </rPr>
      <t>                                      </t>
    </r>
  </si>
  <si>
    <r>
      <t>調查人員：</t>
    </r>
    <r>
      <rPr>
        <u/>
        <sz val="12"/>
        <color theme="1"/>
        <rFont val="Times New Roman"/>
        <family val="1"/>
      </rPr>
      <t>                                  </t>
    </r>
  </si>
  <si>
    <t>天候狀況：_______________</t>
  </si>
  <si>
    <r>
      <t>段編碼：</t>
    </r>
    <r>
      <rPr>
        <u/>
        <sz val="12"/>
        <color theme="1"/>
        <rFont val="Times New Roman"/>
        <family val="1"/>
      </rPr>
      <t xml:space="preserve">                                  </t>
    </r>
  </si>
  <si>
    <r>
      <t>面積</t>
    </r>
    <r>
      <rPr>
        <sz val="12"/>
        <color theme="1"/>
        <rFont val="微軟正黑體"/>
        <family val="2"/>
        <charset val="136"/>
      </rPr>
      <t>:(m2)</t>
    </r>
    <phoneticPr fontId="11" type="noConversion"/>
  </si>
  <si>
    <t>HDV=</t>
    <phoneticPr fontId="11" type="noConversion"/>
  </si>
  <si>
    <t>m=</t>
    <phoneticPr fontId="11" type="noConversion"/>
  </si>
  <si>
    <t>自動區</t>
    <phoneticPr fontId="11" type="noConversion"/>
  </si>
  <si>
    <t>手動區</t>
    <phoneticPr fontId="11" type="noConversion"/>
  </si>
  <si>
    <t>#</t>
    <phoneticPr fontId="11" type="noConversion"/>
  </si>
  <si>
    <t>DV(折減值)</t>
    <phoneticPr fontId="11" type="noConversion"/>
  </si>
  <si>
    <t>total</t>
    <phoneticPr fontId="11" type="noConversion"/>
  </si>
  <si>
    <t>q</t>
    <phoneticPr fontId="11" type="noConversion"/>
  </si>
  <si>
    <t>CDV</t>
    <phoneticPr fontId="11" type="noConversion"/>
  </si>
  <si>
    <t>m值作為填入表中的計算量，若不到折減值不到m個則選取全部資料量，但最多只能選10個</t>
    <phoneticPr fontId="11" type="noConversion"/>
  </si>
  <si>
    <t>(無條件進位)</t>
    <phoneticPr fontId="11" type="noConversion"/>
  </si>
  <si>
    <t>採用數</t>
    <phoneticPr fontId="11" type="noConversion"/>
  </si>
  <si>
    <t>PCI值</t>
    <phoneticPr fontId="11" type="noConversion"/>
  </si>
  <si>
    <t>不合格</t>
    <phoneticPr fontId="11" type="noConversion"/>
  </si>
  <si>
    <t>差</t>
    <phoneticPr fontId="11" type="noConversion"/>
  </si>
  <si>
    <t>好</t>
    <phoneticPr fontId="11" type="noConversion"/>
  </si>
  <si>
    <t>很   差</t>
    <phoneticPr fontId="11" type="noConversion"/>
  </si>
  <si>
    <t>尚   可</t>
    <phoneticPr fontId="11" type="noConversion"/>
  </si>
  <si>
    <t>很   好</t>
    <phoneticPr fontId="11" type="noConversion"/>
  </si>
  <si>
    <t>最   佳</t>
    <phoneticPr fontId="11" type="noConversion"/>
  </si>
  <si>
    <t>巨集不能用?</t>
    <phoneticPr fontId="11" type="noConversion"/>
  </si>
  <si>
    <t>道路柔性鋪面損壞調查表</t>
    <phoneticPr fontId="11" type="noConversion"/>
  </si>
  <si>
    <t>1M</t>
  </si>
  <si>
    <t>2L</t>
  </si>
  <si>
    <t>4L</t>
  </si>
  <si>
    <t>6L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</si>
</sst>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_);[Red]\(0.00\)"/>
    <numFmt numFmtId="178" formatCode="0.0_);[Red]\(0.0\)"/>
  </numFmts>
  <fonts count="17">
    <font>
      <sz val="12"/>
      <color theme="1"/>
      <name val="新細明體"/>
      <family val="2"/>
      <scheme val="minor"/>
    </font>
    <font>
      <sz val="16"/>
      <name val="DFKai-SB"/>
      <family val="4"/>
      <charset val="136"/>
    </font>
    <font>
      <sz val="12"/>
      <name val="DFKai-SB"/>
      <family val="4"/>
      <charset val="136"/>
    </font>
    <font>
      <b/>
      <sz val="12"/>
      <name val="DFKai-SB"/>
      <family val="4"/>
      <charset val="136"/>
    </font>
    <font>
      <sz val="12"/>
      <color theme="1"/>
      <name val="DFKai-SB"/>
      <family val="4"/>
      <charset val="136"/>
    </font>
    <font>
      <sz val="12"/>
      <color theme="1"/>
      <name val="SimSun"/>
      <charset val="134"/>
    </font>
    <font>
      <u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Malgun Gothic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新細明體"/>
      <family val="2"/>
      <scheme val="minor"/>
    </font>
    <font>
      <sz val="36"/>
      <color rgb="FF9C0006"/>
      <name val="新細明體"/>
      <family val="2"/>
      <charset val="136"/>
      <scheme val="minor"/>
    </font>
    <font>
      <sz val="36"/>
      <color rgb="FF9C0006"/>
      <name val="新細明體"/>
      <family val="1"/>
      <charset val="136"/>
      <scheme val="minor"/>
    </font>
    <font>
      <u/>
      <sz val="12"/>
      <color theme="1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Border="1"/>
    <xf numFmtId="0" fontId="4" fillId="0" borderId="5" xfId="0" applyFont="1" applyBorder="1"/>
    <xf numFmtId="0" fontId="4" fillId="0" borderId="0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3" fillId="0" borderId="3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5" fillId="0" borderId="4" xfId="0" applyFont="1" applyBorder="1"/>
    <xf numFmtId="0" fontId="5" fillId="0" borderId="5" xfId="0" applyFont="1" applyBorder="1"/>
    <xf numFmtId="0" fontId="5" fillId="0" borderId="0" xfId="0" applyFont="1" applyBorder="1"/>
    <xf numFmtId="0" fontId="5" fillId="0" borderId="7" xfId="0" applyFont="1" applyBorder="1"/>
    <xf numFmtId="0" fontId="10" fillId="3" borderId="0" xfId="2" applyAlignment="1"/>
    <xf numFmtId="0" fontId="9" fillId="2" borderId="0" xfId="1" applyBorder="1" applyAlignment="1"/>
    <xf numFmtId="176" fontId="10" fillId="3" borderId="3" xfId="2" applyNumberFormat="1" applyBorder="1" applyAlignment="1">
      <alignment wrapText="1"/>
    </xf>
    <xf numFmtId="0" fontId="10" fillId="3" borderId="3" xfId="2" applyBorder="1" applyAlignment="1"/>
    <xf numFmtId="176" fontId="10" fillId="3" borderId="3" xfId="2" applyNumberFormat="1" applyBorder="1" applyAlignment="1"/>
    <xf numFmtId="178" fontId="10" fillId="3" borderId="3" xfId="2" applyNumberFormat="1" applyBorder="1" applyAlignment="1">
      <alignment wrapText="1"/>
    </xf>
    <xf numFmtId="177" fontId="10" fillId="3" borderId="3" xfId="2" applyNumberFormat="1" applyBorder="1" applyAlignment="1">
      <alignment horizontal="left" wrapText="1"/>
    </xf>
    <xf numFmtId="0" fontId="9" fillId="2" borderId="9" xfId="1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1" fontId="10" fillId="3" borderId="3" xfId="2" applyNumberFormat="1" applyBorder="1" applyAlignment="1">
      <alignment horizontal="center" vertical="center"/>
    </xf>
    <xf numFmtId="0" fontId="10" fillId="3" borderId="3" xfId="2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10" fillId="3" borderId="10" xfId="2" applyNumberFormat="1" applyBorder="1" applyAlignment="1">
      <alignment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0" fillId="3" borderId="3" xfId="2" applyNumberFormat="1" applyBorder="1" applyAlignment="1">
      <alignment horizontal="center" vertical="center"/>
    </xf>
    <xf numFmtId="176" fontId="10" fillId="3" borderId="11" xfId="2" applyNumberFormat="1" applyBorder="1" applyAlignment="1">
      <alignment horizontal="center" vertical="center"/>
    </xf>
    <xf numFmtId="1" fontId="10" fillId="3" borderId="11" xfId="2" applyNumberFormat="1" applyBorder="1" applyAlignment="1">
      <alignment horizontal="center" vertical="center"/>
    </xf>
    <xf numFmtId="0" fontId="10" fillId="3" borderId="11" xfId="2" applyBorder="1" applyAlignment="1">
      <alignment horizontal="center" vertical="center"/>
    </xf>
    <xf numFmtId="0" fontId="9" fillId="2" borderId="3" xfId="1" applyBorder="1" applyAlignment="1">
      <alignment horizontal="left" wrapText="1"/>
    </xf>
    <xf numFmtId="0" fontId="9" fillId="2" borderId="3" xfId="1" applyBorder="1" applyAlignment="1">
      <alignment horizontal="left" vertical="top"/>
    </xf>
    <xf numFmtId="0" fontId="9" fillId="2" borderId="3" xfId="1" applyBorder="1" applyAlignment="1"/>
    <xf numFmtId="0" fontId="0" fillId="0" borderId="0" xfId="0" applyAlignment="1">
      <alignment vertical="top" wrapText="1"/>
    </xf>
    <xf numFmtId="0" fontId="16" fillId="0" borderId="0" xfId="3" applyAlignment="1">
      <alignment vertical="top" wrapText="1"/>
    </xf>
    <xf numFmtId="0" fontId="4" fillId="0" borderId="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6" xfId="0" applyFont="1" applyFill="1" applyBorder="1" applyAlignment="1">
      <alignment horizontal="left" vertical="top" wrapText="1"/>
    </xf>
    <xf numFmtId="0" fontId="2" fillId="0" borderId="8" xfId="0" applyFont="1" applyFill="1" applyBorder="1" applyAlignment="1">
      <alignment horizontal="left" vertical="top" wrapText="1"/>
    </xf>
    <xf numFmtId="0" fontId="2" fillId="0" borderId="9" xfId="0" applyFont="1" applyFill="1" applyBorder="1" applyAlignment="1">
      <alignment horizontal="left" vertical="top" wrapText="1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14" fillId="3" borderId="12" xfId="2" applyFont="1" applyBorder="1" applyAlignment="1">
      <alignment horizontal="center"/>
    </xf>
    <xf numFmtId="0" fontId="14" fillId="3" borderId="13" xfId="2" applyFont="1" applyBorder="1" applyAlignment="1">
      <alignment horizontal="center"/>
    </xf>
    <xf numFmtId="0" fontId="14" fillId="3" borderId="15" xfId="2" applyFont="1" applyBorder="1" applyAlignment="1">
      <alignment horizontal="center"/>
    </xf>
    <xf numFmtId="0" fontId="14" fillId="3" borderId="16" xfId="2" applyFont="1" applyBorder="1" applyAlignment="1">
      <alignment horizontal="center"/>
    </xf>
    <xf numFmtId="176" fontId="15" fillId="3" borderId="14" xfId="2" applyNumberFormat="1" applyFont="1" applyBorder="1" applyAlignment="1">
      <alignment horizontal="center"/>
    </xf>
    <xf numFmtId="176" fontId="15" fillId="3" borderId="17" xfId="2" applyNumberFormat="1" applyFont="1" applyBorder="1" applyAlignment="1">
      <alignment horizontal="center"/>
    </xf>
    <xf numFmtId="0" fontId="14" fillId="3" borderId="14" xfId="2" applyFont="1" applyBorder="1" applyAlignment="1">
      <alignment horizontal="center"/>
    </xf>
    <xf numFmtId="0" fontId="14" fillId="3" borderId="17" xfId="2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</cellXfs>
  <cellStyles count="4">
    <cellStyle name="一般" xfId="0" builtinId="0"/>
    <cellStyle name="好" xfId="1" builtinId="26"/>
    <cellStyle name="超連結" xfId="3" builtinId="8"/>
    <cellStyle name="壞" xfId="2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zh-tw/article/%E5%B0%87%E5%B7%A8%E9%9B%86%E6%A8%A1%E7%B5%84%E8%A4%87%E8%A3%BD%E5%88%B0%E5%8F%A6%E4%B8%80%E5%80%8B%E6%B4%BB%E9%A0%81%E7%B0%BF-13c0938b-8432-4259-9177-a71f7e626d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C42"/>
  <sheetViews>
    <sheetView tabSelected="1" zoomScale="70" zoomScaleNormal="70" workbookViewId="0">
      <selection activeCell="R8" sqref="R8"/>
    </sheetView>
  </sheetViews>
  <sheetFormatPr defaultRowHeight="16.2"/>
  <cols>
    <col min="1" max="1" width="10.33203125" customWidth="1"/>
    <col min="6" max="6" width="9" customWidth="1"/>
    <col min="7" max="7" width="8.33203125" customWidth="1"/>
    <col min="8" max="8" width="8.21875" customWidth="1"/>
    <col min="9" max="9" width="8.109375" customWidth="1"/>
    <col min="10" max="10" width="24.88671875" style="28" bestFit="1" customWidth="1"/>
    <col min="11" max="11" width="30.77734375" bestFit="1" customWidth="1"/>
    <col min="12" max="12" width="16.88671875" bestFit="1" customWidth="1"/>
    <col min="13" max="25" width="7.5546875" customWidth="1"/>
    <col min="26" max="26" width="15.5546875" bestFit="1" customWidth="1"/>
    <col min="27" max="29" width="0" hidden="1" customWidth="1"/>
  </cols>
  <sheetData>
    <row r="1" spans="1:29" ht="36" customHeight="1">
      <c r="A1" s="44" t="s">
        <v>49</v>
      </c>
      <c r="B1" s="45"/>
      <c r="C1" s="45"/>
      <c r="D1" s="45"/>
      <c r="E1" s="45"/>
      <c r="F1" s="46"/>
      <c r="G1" s="47" t="s">
        <v>0</v>
      </c>
      <c r="H1" s="48"/>
      <c r="I1" s="49"/>
    </row>
    <row r="2" spans="1:29" ht="21" customHeight="1">
      <c r="A2" s="10" t="s">
        <v>23</v>
      </c>
      <c r="D2" t="s">
        <v>26</v>
      </c>
      <c r="G2" s="50"/>
      <c r="H2" s="50"/>
      <c r="I2" s="51"/>
      <c r="K2" s="14"/>
      <c r="L2" t="s">
        <v>30</v>
      </c>
    </row>
    <row r="3" spans="1:29" ht="21" customHeight="1">
      <c r="A3" s="11" t="s">
        <v>21</v>
      </c>
      <c r="D3" s="54" t="s">
        <v>27</v>
      </c>
      <c r="E3" s="54"/>
      <c r="F3" s="21">
        <v>300</v>
      </c>
      <c r="G3" s="50"/>
      <c r="H3" s="50"/>
      <c r="I3" s="51"/>
      <c r="J3" s="29"/>
      <c r="K3" s="15"/>
      <c r="L3" s="1" t="s">
        <v>31</v>
      </c>
      <c r="M3" s="1"/>
      <c r="N3" s="1"/>
      <c r="O3" s="1"/>
      <c r="P3" s="1"/>
    </row>
    <row r="4" spans="1:29" ht="21" customHeight="1">
      <c r="A4" s="11" t="s">
        <v>24</v>
      </c>
      <c r="D4" s="12" t="s">
        <v>25</v>
      </c>
      <c r="G4" s="50"/>
      <c r="H4" s="50"/>
      <c r="I4" s="51"/>
      <c r="J4" s="29"/>
      <c r="K4" s="1"/>
      <c r="L4" s="1"/>
      <c r="M4" s="1"/>
      <c r="N4" s="1"/>
      <c r="O4" s="1"/>
      <c r="P4" s="1"/>
    </row>
    <row r="5" spans="1:29" ht="21" customHeight="1">
      <c r="A5" s="13" t="s">
        <v>22</v>
      </c>
      <c r="G5" s="52"/>
      <c r="H5" s="52"/>
      <c r="I5" s="53"/>
      <c r="J5" s="27"/>
      <c r="K5" s="9"/>
      <c r="L5" s="9"/>
      <c r="M5" s="9"/>
      <c r="N5" s="9"/>
      <c r="O5" s="9"/>
      <c r="P5" s="1"/>
    </row>
    <row r="6" spans="1:29">
      <c r="A6" s="40" t="s">
        <v>1</v>
      </c>
      <c r="B6" s="41"/>
      <c r="C6" s="41"/>
      <c r="D6" s="41"/>
      <c r="E6" s="41"/>
      <c r="F6" s="41"/>
      <c r="G6" s="42"/>
      <c r="H6" s="42"/>
      <c r="I6" s="43"/>
      <c r="J6" s="29"/>
      <c r="K6" s="1"/>
      <c r="L6" s="1"/>
      <c r="M6" s="1"/>
      <c r="N6" s="1"/>
      <c r="O6" s="1"/>
      <c r="P6" s="1"/>
    </row>
    <row r="7" spans="1:29">
      <c r="A7" s="2" t="s">
        <v>2</v>
      </c>
      <c r="B7" s="3"/>
      <c r="C7" s="3"/>
      <c r="D7" s="3" t="s">
        <v>7</v>
      </c>
      <c r="E7" s="3"/>
      <c r="F7" s="3"/>
      <c r="G7" s="3" t="s">
        <v>13</v>
      </c>
      <c r="H7" s="3"/>
      <c r="I7" s="4"/>
      <c r="J7" s="29"/>
      <c r="K7" s="1"/>
      <c r="L7" s="1"/>
      <c r="M7" s="1"/>
      <c r="N7" s="1"/>
      <c r="O7" s="1"/>
      <c r="P7" s="1"/>
    </row>
    <row r="8" spans="1:29">
      <c r="A8" s="2" t="s">
        <v>3</v>
      </c>
      <c r="B8" s="3"/>
      <c r="C8" s="3"/>
      <c r="D8" s="3" t="s">
        <v>8</v>
      </c>
      <c r="E8" s="3"/>
      <c r="F8" s="3"/>
      <c r="G8" s="3" t="s">
        <v>12</v>
      </c>
      <c r="H8" s="3"/>
      <c r="I8" s="4"/>
      <c r="J8" s="29"/>
      <c r="K8" s="1"/>
      <c r="L8" s="1"/>
      <c r="M8" s="1"/>
      <c r="N8" s="1"/>
      <c r="O8" s="1"/>
      <c r="P8" s="1"/>
    </row>
    <row r="9" spans="1:29">
      <c r="A9" s="2" t="s">
        <v>4</v>
      </c>
      <c r="B9" s="3"/>
      <c r="C9" s="3"/>
      <c r="D9" s="3" t="s">
        <v>9</v>
      </c>
      <c r="E9" s="3"/>
      <c r="F9" s="3"/>
      <c r="G9" s="3" t="s">
        <v>14</v>
      </c>
      <c r="H9" s="3"/>
      <c r="I9" s="4"/>
    </row>
    <row r="10" spans="1:29">
      <c r="A10" s="2" t="s">
        <v>5</v>
      </c>
      <c r="B10" s="3"/>
      <c r="C10" s="3"/>
      <c r="D10" s="3" t="s">
        <v>10</v>
      </c>
      <c r="E10" s="3"/>
      <c r="F10" s="3"/>
      <c r="G10" s="3" t="s">
        <v>15</v>
      </c>
      <c r="H10" s="3"/>
      <c r="I10" s="4"/>
    </row>
    <row r="11" spans="1:29">
      <c r="A11" s="5" t="s">
        <v>6</v>
      </c>
      <c r="B11" s="6"/>
      <c r="C11" s="6"/>
      <c r="D11" s="6" t="s">
        <v>11</v>
      </c>
      <c r="E11" s="6"/>
      <c r="F11" s="6"/>
      <c r="G11" s="6"/>
      <c r="H11" s="6"/>
      <c r="I11" s="7"/>
    </row>
    <row r="12" spans="1:29" ht="48.6">
      <c r="A12" s="8" t="s">
        <v>16</v>
      </c>
      <c r="B12" s="65" t="s">
        <v>17</v>
      </c>
      <c r="C12" s="65"/>
      <c r="D12" s="65"/>
      <c r="E12" s="65"/>
      <c r="F12" s="65"/>
      <c r="G12" s="8" t="s">
        <v>18</v>
      </c>
      <c r="H12" s="8" t="s">
        <v>19</v>
      </c>
      <c r="I12" s="8" t="s">
        <v>20</v>
      </c>
      <c r="J12" s="30" t="str">
        <f t="shared" ref="J12" si="0">IF(I12&lt;0,"值域外(負數)","")</f>
        <v/>
      </c>
    </row>
    <row r="13" spans="1:29">
      <c r="A13" s="35" t="s">
        <v>50</v>
      </c>
      <c r="B13" s="35">
        <v>3.92</v>
      </c>
      <c r="C13" s="35"/>
      <c r="D13" s="35"/>
      <c r="E13" s="35"/>
      <c r="F13" s="35"/>
      <c r="G13" s="20">
        <f>SUM(B13:F13)</f>
        <v>3.92</v>
      </c>
      <c r="H13" s="19">
        <f>IF(G13=0,"",G13/$F$3*100)</f>
        <v>1.3066666666666666</v>
      </c>
      <c r="I13" s="16">
        <f>IFERROR(IF(roadDV(A13,LOG10(H13))&lt;0,"",IF(roadDV(A13,LOG10(H13))&gt;100,100,roadDV(A13,LOG10(H13)))),"")</f>
        <v>24.292458869829517</v>
      </c>
      <c r="J13" s="30" t="str">
        <f>IF(A13&lt;&gt;0,IF(OR(IFERROR(roadDV(A13,LOG10(H13)),"")&lt;0,IFERROR(roadDV(A13,LOG10(H13)),"")&gt;100),"數值在範圍外",""),"")</f>
        <v/>
      </c>
      <c r="M13" s="22" t="s">
        <v>32</v>
      </c>
      <c r="N13" s="64" t="s">
        <v>33</v>
      </c>
      <c r="O13" s="64"/>
      <c r="P13" s="64"/>
      <c r="Q13" s="64"/>
      <c r="R13" s="64"/>
      <c r="S13" s="64"/>
      <c r="T13" s="64"/>
      <c r="U13" s="64"/>
      <c r="V13" s="64"/>
      <c r="W13" s="64"/>
      <c r="X13" s="22" t="s">
        <v>34</v>
      </c>
      <c r="Y13" s="22" t="s">
        <v>35</v>
      </c>
      <c r="Z13" s="22" t="s">
        <v>36</v>
      </c>
    </row>
    <row r="14" spans="1:29" ht="24.9" customHeight="1">
      <c r="A14" s="35" t="s">
        <v>51</v>
      </c>
      <c r="B14" s="35">
        <v>3.6</v>
      </c>
      <c r="C14" s="35"/>
      <c r="D14" s="35"/>
      <c r="E14" s="35"/>
      <c r="F14" s="35"/>
      <c r="G14" s="20">
        <f t="shared" ref="G14:G31" si="1">SUM(B14:F14)</f>
        <v>3.6</v>
      </c>
      <c r="H14" s="19">
        <f t="shared" ref="H14:H31" si="2">IF(G14=0,"",G14/$F$3*100)</f>
        <v>1.2</v>
      </c>
      <c r="I14" s="16" t="str">
        <f>IFERROR(IF(roadDV(A14,LOG10(H14))&lt;0,"",IF(roadDV(A14,LOG10(H14))&gt;100,100,roadDV(A14,LOG10(H14)))),"")</f>
        <v/>
      </c>
      <c r="J14" s="30" t="str">
        <f>IF(A14&lt;&gt;0,IF(OR(IFERROR(roadDV(A14,LOG10(H14)),"")&lt;0,IFERROR(roadDV(A14,LOG10(H14)),"")&gt;100),"數值在範圍外",""),"")</f>
        <v>數值在範圍外</v>
      </c>
      <c r="M14" s="22">
        <v>1</v>
      </c>
      <c r="N14" s="31">
        <f>IF(OR($K$34&gt;1,$K$34=1),IFERROR(LARGE($I$13:$I$31,1),),"")</f>
        <v>24.292458869829517</v>
      </c>
      <c r="O14" s="31">
        <f>IF(OR($K$34&gt;2,$K$34=2),IFERROR(LARGE($I$13:$I$31,2),),"")</f>
        <v>6.1148132998649478</v>
      </c>
      <c r="P14" s="31" t="str">
        <f>IF(OR($K$34&gt;3,$K$34=3),IFERROR(LARGE($I$13:$I$31,3),),"")</f>
        <v/>
      </c>
      <c r="Q14" s="31" t="str">
        <f>IF(OR($K$34&gt;4,$K$34=4),IFERROR(LARGE($I$13:$I$31,4),),"")</f>
        <v/>
      </c>
      <c r="R14" s="31" t="str">
        <f>IF(OR($K$34&gt;5,$K$34=5),IFERROR(LARGE($I$13:$I$31,5),),"")</f>
        <v/>
      </c>
      <c r="S14" s="31" t="str">
        <f>IF(OR($K$34&gt;6,$K$34=6),IFERROR(LARGE($I$13:$I$31,6),),"")</f>
        <v/>
      </c>
      <c r="T14" s="31" t="str">
        <f>IF(OR($K$34&gt;7,$K$34=7),IFERROR(LARGE($I$13:$I$31,7),),"")</f>
        <v/>
      </c>
      <c r="U14" s="31" t="str">
        <f>IF(OR($K$34&gt;8,$K$34=8),IFERROR(LARGE($I$13:$I$31,8),),"")</f>
        <v/>
      </c>
      <c r="V14" s="31" t="str">
        <f>IF(OR($K$34&gt;9,$K$34=9),IFERROR(LARGE($I$13:$I$31,9),),"")</f>
        <v/>
      </c>
      <c r="W14" s="31" t="str">
        <f>IF(OR($K$34&gt;10,$K$34=10),IFERROR(LARGE($I$13:$I$31,10),),"")</f>
        <v/>
      </c>
      <c r="X14" s="23">
        <f>SUM(N14:W14)</f>
        <v>30.407272169694465</v>
      </c>
      <c r="Y14" s="24">
        <f>COUNTIF(N14:W14,"&gt;2")</f>
        <v>2</v>
      </c>
      <c r="Z14" s="31">
        <f>CDV(Y14,X14)</f>
        <v>22.498793933058774</v>
      </c>
    </row>
    <row r="15" spans="1:29" ht="24.9" customHeight="1">
      <c r="A15" s="35" t="s">
        <v>52</v>
      </c>
      <c r="B15" s="35">
        <v>0.04</v>
      </c>
      <c r="C15" s="35"/>
      <c r="D15" s="35"/>
      <c r="E15" s="35"/>
      <c r="F15" s="35"/>
      <c r="G15" s="20">
        <f t="shared" si="1"/>
        <v>0.04</v>
      </c>
      <c r="H15" s="19">
        <f t="shared" si="2"/>
        <v>1.3333333333333334E-2</v>
      </c>
      <c r="I15" s="16" t="str">
        <f>IFERROR(IF(roadDV(A15,LOG10(H15))&lt;0,"",IF(roadDV(A15,LOG10(H15))&gt;100,100,roadDV(A15,LOG10(H15)))),"")</f>
        <v/>
      </c>
      <c r="J15" s="30" t="str">
        <f>IF(A15&lt;&gt;0,IF(OR(IFERROR(roadDV(A15,LOG10(H15)),"")&lt;0,IFERROR(roadDV(A15,LOG10(H15)),"")&gt;100),"數值在範圍外",""),"")</f>
        <v>數值在範圍外</v>
      </c>
      <c r="M15" s="22">
        <v>2</v>
      </c>
      <c r="N15" s="31">
        <f>IF(N14="","",IF(OR(O14=2,O14=""),2,N14))</f>
        <v>24.292458869829517</v>
      </c>
      <c r="O15" s="31">
        <f t="shared" ref="O15:V15" si="3">IF(O14="","",IF(OR(P14=2,P14=""),2,O14))</f>
        <v>2</v>
      </c>
      <c r="P15" s="31" t="str">
        <f t="shared" si="3"/>
        <v/>
      </c>
      <c r="Q15" s="31" t="str">
        <f t="shared" si="3"/>
        <v/>
      </c>
      <c r="R15" s="31" t="str">
        <f t="shared" si="3"/>
        <v/>
      </c>
      <c r="S15" s="31" t="str">
        <f t="shared" si="3"/>
        <v/>
      </c>
      <c r="T15" s="31" t="str">
        <f t="shared" si="3"/>
        <v/>
      </c>
      <c r="U15" s="31" t="str">
        <f t="shared" si="3"/>
        <v/>
      </c>
      <c r="V15" s="31" t="str">
        <f t="shared" si="3"/>
        <v/>
      </c>
      <c r="W15" s="31" t="str">
        <f>IF(Y14=1,,IF(W14="","",2))</f>
        <v/>
      </c>
      <c r="X15" s="23">
        <f t="shared" ref="X15:X20" si="4">SUM(N15:W15)</f>
        <v>26.292458869829517</v>
      </c>
      <c r="Y15" s="24">
        <f>COUNTIF(N15:W15,"&gt;2")</f>
        <v>1</v>
      </c>
      <c r="Z15" s="31">
        <f t="shared" ref="Z15:Z20" si="5">CDV(Y15,X15)</f>
        <v>26.292458869829517</v>
      </c>
      <c r="AB15" s="28">
        <v>0</v>
      </c>
      <c r="AC15" s="28" t="s">
        <v>41</v>
      </c>
    </row>
    <row r="16" spans="1:29" ht="24.9" customHeight="1">
      <c r="A16" s="35" t="s">
        <v>53</v>
      </c>
      <c r="B16" s="35">
        <v>7.28</v>
      </c>
      <c r="C16" s="35"/>
      <c r="D16" s="35"/>
      <c r="E16" s="35"/>
      <c r="F16" s="35"/>
      <c r="G16" s="20">
        <f t="shared" si="1"/>
        <v>7.28</v>
      </c>
      <c r="H16" s="19">
        <f t="shared" si="2"/>
        <v>2.4266666666666667</v>
      </c>
      <c r="I16" s="16">
        <f>IFERROR(IF(roadDV(A16,LOG10(H16))&lt;0,"",IF(roadDV(A16,LOG10(H16))&gt;100,100,roadDV(A16,LOG10(H16)))),"")</f>
        <v>6.1148132998649478</v>
      </c>
      <c r="J16" s="30" t="str">
        <f>IF(A16&lt;&gt;0,IF(OR(IFERROR(roadDV(A16,LOG10(H16)),"")&lt;0,IFERROR(roadDV(A16,LOG10(H16)),"")&gt;100),"數值在範圍外",""),"")</f>
        <v/>
      </c>
      <c r="M16" s="22">
        <v>3</v>
      </c>
      <c r="N16" s="31">
        <f t="shared" ref="N16:N20" si="6">IF(N15="","",IF(OR(O15=2,O15=""),2,N15))</f>
        <v>2</v>
      </c>
      <c r="O16" s="31">
        <f t="shared" ref="O16:O20" si="7">IF(O15="","",IF(OR(P15=2,P15=""),2,O15))</f>
        <v>2</v>
      </c>
      <c r="P16" s="31" t="str">
        <f t="shared" ref="P16:P20" si="8">IF(P15="","",IF(OR(Q15=2,Q15=""),2,P15))</f>
        <v/>
      </c>
      <c r="Q16" s="31" t="str">
        <f t="shared" ref="Q16:Q20" si="9">IF(Q15="","",IF(OR(R15=2,R15=""),2,Q15))</f>
        <v/>
      </c>
      <c r="R16" s="31" t="str">
        <f t="shared" ref="R16:R20" si="10">IF(R15="","",IF(OR(S15=2,S15=""),2,R15))</f>
        <v/>
      </c>
      <c r="S16" s="31" t="str">
        <f t="shared" ref="S16:S20" si="11">IF(S15="","",IF(OR(T15=2,T15=""),2,S15))</f>
        <v/>
      </c>
      <c r="T16" s="31" t="str">
        <f t="shared" ref="T16:T20" si="12">IF(T15="","",IF(OR(U15=2,U15=""),2,T15))</f>
        <v/>
      </c>
      <c r="U16" s="31" t="str">
        <f t="shared" ref="U16:U20" si="13">IF(U15="","",IF(OR(V15=2,V15=""),2,U15))</f>
        <v/>
      </c>
      <c r="V16" s="31" t="str">
        <f t="shared" ref="V16:V20" si="14">IF(V15="","",IF(OR(W15=2,W15=""),2,V15))</f>
        <v/>
      </c>
      <c r="W16" s="31">
        <f t="shared" ref="W16:W23" si="15">IF(Y15=1,,IF(W15="","",2))</f>
        <v>0</v>
      </c>
      <c r="X16" s="23">
        <f t="shared" si="4"/>
        <v>4</v>
      </c>
      <c r="Y16" s="24">
        <f t="shared" ref="Y16:Y20" si="16">COUNTIF(N16:W16,"&gt;2")</f>
        <v>0</v>
      </c>
      <c r="Z16" s="31">
        <f t="shared" si="5"/>
        <v>0</v>
      </c>
      <c r="AB16" s="28">
        <v>10</v>
      </c>
      <c r="AC16" s="28" t="s">
        <v>44</v>
      </c>
    </row>
    <row r="17" spans="1:29" ht="24.9" customHeight="1">
      <c r="A17" s="35"/>
      <c r="B17" s="35"/>
      <c r="C17" s="35"/>
      <c r="D17" s="35"/>
      <c r="E17" s="35"/>
      <c r="F17" s="35"/>
      <c r="G17" s="20">
        <f t="shared" si="1"/>
        <v>0</v>
      </c>
      <c r="H17" s="19" t="str">
        <f t="shared" si="2"/>
        <v/>
      </c>
      <c r="I17" s="16" t="str">
        <f>IFERROR(IF(roadDV(A17,LOG10(H17))&lt;0,"",IF(roadDV(A17,LOG10(H17))&gt;100,100,roadDV(A17,LOG10(H17)))),"")</f>
        <v/>
      </c>
      <c r="J17" s="30" t="str">
        <f>IF(A17&lt;&gt;0,IF(OR(IFERROR(roadDV(A17,LOG10(H17)),"")&lt;0,IFERROR(roadDV(A17,LOG10(H17)),"")&gt;100),"數值在範圍外",""),"")</f>
        <v/>
      </c>
      <c r="M17" s="22">
        <v>4</v>
      </c>
      <c r="N17" s="31">
        <f t="shared" si="6"/>
        <v>2</v>
      </c>
      <c r="O17" s="31">
        <f t="shared" si="7"/>
        <v>2</v>
      </c>
      <c r="P17" s="31" t="str">
        <f t="shared" si="8"/>
        <v/>
      </c>
      <c r="Q17" s="31" t="str">
        <f t="shared" si="9"/>
        <v/>
      </c>
      <c r="R17" s="31" t="str">
        <f t="shared" si="10"/>
        <v/>
      </c>
      <c r="S17" s="31" t="str">
        <f t="shared" si="11"/>
        <v/>
      </c>
      <c r="T17" s="31" t="str">
        <f t="shared" si="12"/>
        <v/>
      </c>
      <c r="U17" s="31" t="str">
        <f t="shared" si="13"/>
        <v/>
      </c>
      <c r="V17" s="31" t="str">
        <f t="shared" si="14"/>
        <v/>
      </c>
      <c r="W17" s="31">
        <f t="shared" si="15"/>
        <v>2</v>
      </c>
      <c r="X17" s="23">
        <f t="shared" si="4"/>
        <v>6</v>
      </c>
      <c r="Y17" s="24">
        <f t="shared" si="16"/>
        <v>0</v>
      </c>
      <c r="Z17" s="31">
        <f t="shared" si="5"/>
        <v>0</v>
      </c>
      <c r="AB17" s="28">
        <v>25</v>
      </c>
      <c r="AC17" s="28" t="s">
        <v>42</v>
      </c>
    </row>
    <row r="18" spans="1:29" ht="24.9" customHeight="1">
      <c r="A18" s="35"/>
      <c r="B18" s="35"/>
      <c r="C18" s="35"/>
      <c r="D18" s="35"/>
      <c r="E18" s="35"/>
      <c r="F18" s="35"/>
      <c r="G18" s="20">
        <f t="shared" si="1"/>
        <v>0</v>
      </c>
      <c r="H18" s="19" t="str">
        <f t="shared" si="2"/>
        <v/>
      </c>
      <c r="I18" s="16" t="str">
        <f>IFERROR(IF(roadDV(A18,LOG10(H18))&lt;0,"",IF(roadDV(A18,LOG10(H18))&gt;100,100,roadDV(A18,LOG10(H18)))),"")</f>
        <v/>
      </c>
      <c r="J18" s="30" t="str">
        <f>IF(A18&lt;&gt;0,IF(OR(IFERROR(roadDV(A18,LOG10(H18)),"")&lt;0,IFERROR(roadDV(A18,LOG10(H18)),"")&gt;100),"數值在範圍外",""),"")</f>
        <v/>
      </c>
      <c r="M18" s="22">
        <v>5</v>
      </c>
      <c r="N18" s="31">
        <f t="shared" si="6"/>
        <v>2</v>
      </c>
      <c r="O18" s="31">
        <f t="shared" si="7"/>
        <v>2</v>
      </c>
      <c r="P18" s="31" t="str">
        <f t="shared" si="8"/>
        <v/>
      </c>
      <c r="Q18" s="31" t="str">
        <f t="shared" si="9"/>
        <v/>
      </c>
      <c r="R18" s="31" t="str">
        <f t="shared" si="10"/>
        <v/>
      </c>
      <c r="S18" s="31" t="str">
        <f t="shared" si="11"/>
        <v/>
      </c>
      <c r="T18" s="31" t="str">
        <f t="shared" si="12"/>
        <v/>
      </c>
      <c r="U18" s="31" t="str">
        <f t="shared" si="13"/>
        <v/>
      </c>
      <c r="V18" s="31" t="str">
        <f t="shared" si="14"/>
        <v/>
      </c>
      <c r="W18" s="31">
        <f t="shared" si="15"/>
        <v>2</v>
      </c>
      <c r="X18" s="23">
        <f t="shared" si="4"/>
        <v>6</v>
      </c>
      <c r="Y18" s="24">
        <f t="shared" si="16"/>
        <v>0</v>
      </c>
      <c r="Z18" s="31">
        <f t="shared" si="5"/>
        <v>0</v>
      </c>
      <c r="AB18" s="28">
        <v>40</v>
      </c>
      <c r="AC18" s="28" t="s">
        <v>45</v>
      </c>
    </row>
    <row r="19" spans="1:29" ht="24.9" customHeight="1">
      <c r="A19" s="35"/>
      <c r="B19" s="35"/>
      <c r="C19" s="35"/>
      <c r="D19" s="35"/>
      <c r="E19" s="35"/>
      <c r="F19" s="35"/>
      <c r="G19" s="20">
        <f t="shared" si="1"/>
        <v>0</v>
      </c>
      <c r="H19" s="19" t="str">
        <f t="shared" si="2"/>
        <v/>
      </c>
      <c r="I19" s="16" t="str">
        <f>IFERROR(IF(roadDV(A19,LOG10(H19))&lt;0,"",IF(roadDV(A19,LOG10(H19))&gt;100,100,roadDV(A19,LOG10(H19)))),"")</f>
        <v/>
      </c>
      <c r="J19" s="30" t="str">
        <f>IF(A19&lt;&gt;0,IF(OR(IFERROR(roadDV(A19,LOG10(H19)),"")&lt;0,IFERROR(roadDV(A19,LOG10(H19)),"")&gt;100),"數值在範圍外",""),"")</f>
        <v/>
      </c>
      <c r="M19" s="22">
        <v>6</v>
      </c>
      <c r="N19" s="31">
        <f t="shared" si="6"/>
        <v>2</v>
      </c>
      <c r="O19" s="31">
        <f t="shared" si="7"/>
        <v>2</v>
      </c>
      <c r="P19" s="31" t="str">
        <f t="shared" si="8"/>
        <v/>
      </c>
      <c r="Q19" s="31" t="str">
        <f t="shared" si="9"/>
        <v/>
      </c>
      <c r="R19" s="31" t="str">
        <f t="shared" si="10"/>
        <v/>
      </c>
      <c r="S19" s="31" t="str">
        <f t="shared" si="11"/>
        <v/>
      </c>
      <c r="T19" s="31" t="str">
        <f t="shared" si="12"/>
        <v/>
      </c>
      <c r="U19" s="31" t="str">
        <f t="shared" si="13"/>
        <v/>
      </c>
      <c r="V19" s="31" t="str">
        <f t="shared" si="14"/>
        <v/>
      </c>
      <c r="W19" s="31">
        <f t="shared" si="15"/>
        <v>2</v>
      </c>
      <c r="X19" s="23">
        <f t="shared" si="4"/>
        <v>6</v>
      </c>
      <c r="Y19" s="24">
        <f>COUNTIF(N19:W19,"&gt;2")</f>
        <v>0</v>
      </c>
      <c r="Z19" s="31">
        <f t="shared" si="5"/>
        <v>0</v>
      </c>
      <c r="AB19" s="28">
        <v>55</v>
      </c>
      <c r="AC19" s="28" t="s">
        <v>43</v>
      </c>
    </row>
    <row r="20" spans="1:29" ht="24.9" customHeight="1">
      <c r="A20" s="35"/>
      <c r="B20" s="35"/>
      <c r="C20" s="35"/>
      <c r="D20" s="35"/>
      <c r="E20" s="35"/>
      <c r="F20" s="35"/>
      <c r="G20" s="20">
        <f t="shared" si="1"/>
        <v>0</v>
      </c>
      <c r="H20" s="19" t="str">
        <f t="shared" si="2"/>
        <v/>
      </c>
      <c r="I20" s="16" t="str">
        <f>IFERROR(IF(roadDV(A20,LOG10(H20))&lt;0,"",IF(roadDV(A20,LOG10(H20))&gt;100,100,roadDV(A20,LOG10(H20)))),"")</f>
        <v/>
      </c>
      <c r="J20" s="30" t="str">
        <f>IF(A20&lt;&gt;0,IF(OR(IFERROR(roadDV(A20,LOG10(H20)),"")&lt;0,IFERROR(roadDV(A20,LOG10(H20)),"")&gt;100),"數值在範圍外",""),"")</f>
        <v/>
      </c>
      <c r="M20" s="22">
        <v>7</v>
      </c>
      <c r="N20" s="31">
        <f t="shared" si="6"/>
        <v>2</v>
      </c>
      <c r="O20" s="31">
        <f t="shared" si="7"/>
        <v>2</v>
      </c>
      <c r="P20" s="31" t="str">
        <f t="shared" si="8"/>
        <v/>
      </c>
      <c r="Q20" s="31" t="str">
        <f t="shared" si="9"/>
        <v/>
      </c>
      <c r="R20" s="31" t="str">
        <f t="shared" si="10"/>
        <v/>
      </c>
      <c r="S20" s="31" t="str">
        <f t="shared" si="11"/>
        <v/>
      </c>
      <c r="T20" s="31" t="str">
        <f t="shared" si="12"/>
        <v/>
      </c>
      <c r="U20" s="31" t="str">
        <f t="shared" si="13"/>
        <v/>
      </c>
      <c r="V20" s="31" t="str">
        <f t="shared" si="14"/>
        <v/>
      </c>
      <c r="W20" s="31">
        <f t="shared" si="15"/>
        <v>2</v>
      </c>
      <c r="X20" s="33">
        <f t="shared" si="4"/>
        <v>6</v>
      </c>
      <c r="Y20" s="34">
        <f t="shared" si="16"/>
        <v>0</v>
      </c>
      <c r="Z20" s="32">
        <f t="shared" si="5"/>
        <v>0</v>
      </c>
      <c r="AB20" s="28">
        <v>70</v>
      </c>
      <c r="AC20" s="28" t="s">
        <v>46</v>
      </c>
    </row>
    <row r="21" spans="1:29" ht="24.9" customHeight="1">
      <c r="A21" s="35"/>
      <c r="B21" s="35"/>
      <c r="C21" s="35"/>
      <c r="D21" s="36"/>
      <c r="E21" s="36"/>
      <c r="F21" s="36"/>
      <c r="G21" s="20">
        <f t="shared" si="1"/>
        <v>0</v>
      </c>
      <c r="H21" s="19" t="str">
        <f t="shared" si="2"/>
        <v/>
      </c>
      <c r="I21" s="16" t="str">
        <f>IFERROR(IF(roadDV(A21,LOG10(H21))&lt;0,"",IF(roadDV(A21,LOG10(H21))&gt;100,100,roadDV(A21,LOG10(H21)))),"")</f>
        <v/>
      </c>
      <c r="J21" s="30" t="str">
        <f>IF(A21&lt;&gt;0,IF(OR(IFERROR(roadDV(A21,LOG10(H21)),"")&lt;0,IFERROR(roadDV(A21,LOG10(H21)),"")&gt;100),"數值在範圍外",""),"")</f>
        <v/>
      </c>
      <c r="M21" s="25">
        <v>8</v>
      </c>
      <c r="N21" s="31">
        <f t="shared" ref="N21:N23" si="17">IF(N20="","",IF(OR(O20=2,O20=""),2,N20))</f>
        <v>2</v>
      </c>
      <c r="O21" s="31">
        <f t="shared" ref="O21:O23" si="18">IF(O20="","",IF(OR(P20=2,P20=""),2,O20))</f>
        <v>2</v>
      </c>
      <c r="P21" s="31" t="str">
        <f t="shared" ref="P21:P23" si="19">IF(P20="","",IF(OR(Q20=2,Q20=""),2,P20))</f>
        <v/>
      </c>
      <c r="Q21" s="31" t="str">
        <f t="shared" ref="Q21:Q23" si="20">IF(Q20="","",IF(OR(R20=2,R20=""),2,Q20))</f>
        <v/>
      </c>
      <c r="R21" s="31" t="str">
        <f t="shared" ref="R21:R23" si="21">IF(R20="","",IF(OR(S20=2,S20=""),2,R20))</f>
        <v/>
      </c>
      <c r="S21" s="31" t="str">
        <f t="shared" ref="S21:S23" si="22">IF(S20="","",IF(OR(T20=2,T20=""),2,S20))</f>
        <v/>
      </c>
      <c r="T21" s="31" t="str">
        <f t="shared" ref="T21:T23" si="23">IF(T20="","",IF(OR(U20=2,U20=""),2,T20))</f>
        <v/>
      </c>
      <c r="U21" s="31" t="str">
        <f t="shared" ref="U21:U23" si="24">IF(U20="","",IF(OR(V20=2,V20=""),2,U20))</f>
        <v/>
      </c>
      <c r="V21" s="31" t="str">
        <f t="shared" ref="V21:V23" si="25">IF(V20="","",IF(OR(W20=2,W20=""),2,V20))</f>
        <v/>
      </c>
      <c r="W21" s="31">
        <f t="shared" si="15"/>
        <v>2</v>
      </c>
      <c r="X21" s="33">
        <f t="shared" ref="X21:X23" si="26">SUM(N21:W21)</f>
        <v>6</v>
      </c>
      <c r="Y21" s="34">
        <f t="shared" ref="Y21:Y23" si="27">COUNTIF(N21:W21,"&gt;2")</f>
        <v>0</v>
      </c>
      <c r="Z21" s="32">
        <f t="shared" ref="Z21:Z23" si="28">CDV(Y21,X21)</f>
        <v>0</v>
      </c>
      <c r="AB21" s="28">
        <v>85</v>
      </c>
      <c r="AC21" s="28" t="s">
        <v>47</v>
      </c>
    </row>
    <row r="22" spans="1:29" ht="24.9" customHeight="1">
      <c r="A22" s="35"/>
      <c r="B22" s="35"/>
      <c r="C22" s="35"/>
      <c r="D22" s="36"/>
      <c r="E22" s="36"/>
      <c r="F22" s="36"/>
      <c r="G22" s="20">
        <f t="shared" si="1"/>
        <v>0</v>
      </c>
      <c r="H22" s="19" t="str">
        <f t="shared" si="2"/>
        <v/>
      </c>
      <c r="I22" s="16" t="str">
        <f>IFERROR(IF(roadDV(A22,LOG10(H22))&lt;0,"",IF(roadDV(A22,LOG10(H22))&gt;100,100,roadDV(A22,LOG10(H22)))),"")</f>
        <v/>
      </c>
      <c r="J22" s="30" t="str">
        <f>IF(A22&lt;&gt;0,IF(OR(IFERROR(roadDV(A22,LOG10(H22)),"")&lt;0,IFERROR(roadDV(A22,LOG10(H22)),"")&gt;100),"數值在範圍外",""),"")</f>
        <v/>
      </c>
      <c r="M22" s="25">
        <v>9</v>
      </c>
      <c r="N22" s="31">
        <f t="shared" si="17"/>
        <v>2</v>
      </c>
      <c r="O22" s="31">
        <f t="shared" si="18"/>
        <v>2</v>
      </c>
      <c r="P22" s="31" t="str">
        <f t="shared" si="19"/>
        <v/>
      </c>
      <c r="Q22" s="31" t="str">
        <f t="shared" si="20"/>
        <v/>
      </c>
      <c r="R22" s="31" t="str">
        <f t="shared" si="21"/>
        <v/>
      </c>
      <c r="S22" s="31" t="str">
        <f t="shared" si="22"/>
        <v/>
      </c>
      <c r="T22" s="31" t="str">
        <f t="shared" si="23"/>
        <v/>
      </c>
      <c r="U22" s="31" t="str">
        <f t="shared" si="24"/>
        <v/>
      </c>
      <c r="V22" s="31" t="str">
        <f t="shared" si="25"/>
        <v/>
      </c>
      <c r="W22" s="31">
        <f t="shared" si="15"/>
        <v>2</v>
      </c>
      <c r="X22" s="33">
        <f t="shared" si="26"/>
        <v>6</v>
      </c>
      <c r="Y22" s="34">
        <f t="shared" si="27"/>
        <v>0</v>
      </c>
      <c r="Z22" s="32">
        <f t="shared" si="28"/>
        <v>0</v>
      </c>
    </row>
    <row r="23" spans="1:29" ht="24.9" customHeight="1" thickBot="1">
      <c r="A23" s="35"/>
      <c r="B23" s="35"/>
      <c r="C23" s="35"/>
      <c r="D23" s="36"/>
      <c r="E23" s="36"/>
      <c r="F23" s="36"/>
      <c r="G23" s="20">
        <f t="shared" si="1"/>
        <v>0</v>
      </c>
      <c r="H23" s="19" t="str">
        <f t="shared" si="2"/>
        <v/>
      </c>
      <c r="I23" s="16" t="str">
        <f>IFERROR(IF(roadDV(A23,LOG10(H23))&lt;0,"",IF(roadDV(A23,LOG10(H23))&gt;100,100,roadDV(A23,LOG10(H23)))),"")</f>
        <v/>
      </c>
      <c r="J23" s="30" t="str">
        <f>IF(A23&lt;&gt;0,IF(OR(IFERROR(roadDV(A23,LOG10(H23)),"")&lt;0,IFERROR(roadDV(A23,LOG10(H23)),"")&gt;100),"數值在範圍外",""),"")</f>
        <v/>
      </c>
      <c r="M23" s="25">
        <v>10</v>
      </c>
      <c r="N23" s="31">
        <f t="shared" si="17"/>
        <v>2</v>
      </c>
      <c r="O23" s="31">
        <f t="shared" si="18"/>
        <v>2</v>
      </c>
      <c r="P23" s="31" t="str">
        <f t="shared" si="19"/>
        <v/>
      </c>
      <c r="Q23" s="31" t="str">
        <f t="shared" si="20"/>
        <v/>
      </c>
      <c r="R23" s="31" t="str">
        <f t="shared" si="21"/>
        <v/>
      </c>
      <c r="S23" s="31" t="str">
        <f t="shared" si="22"/>
        <v/>
      </c>
      <c r="T23" s="31" t="str">
        <f t="shared" si="23"/>
        <v/>
      </c>
      <c r="U23" s="31" t="str">
        <f t="shared" si="24"/>
        <v/>
      </c>
      <c r="V23" s="31" t="str">
        <f t="shared" si="25"/>
        <v/>
      </c>
      <c r="W23" s="31">
        <f t="shared" si="15"/>
        <v>2</v>
      </c>
      <c r="X23" s="33">
        <f t="shared" si="26"/>
        <v>6</v>
      </c>
      <c r="Y23" s="34">
        <f t="shared" si="27"/>
        <v>0</v>
      </c>
      <c r="Z23" s="32">
        <f t="shared" si="28"/>
        <v>0</v>
      </c>
    </row>
    <row r="24" spans="1:29" ht="24.9" customHeight="1">
      <c r="A24" s="35"/>
      <c r="B24" s="35"/>
      <c r="C24" s="35"/>
      <c r="D24" s="36"/>
      <c r="E24" s="36"/>
      <c r="F24" s="36"/>
      <c r="G24" s="20">
        <f t="shared" si="1"/>
        <v>0</v>
      </c>
      <c r="H24" s="19" t="str">
        <f t="shared" si="2"/>
        <v/>
      </c>
      <c r="I24" s="16" t="str">
        <f>IFERROR(IF(roadDV(A24,LOG10(H24))&lt;0,"",IF(roadDV(A24,LOG10(H24))&gt;100,100,roadDV(A24,LOG10(H24)))),"")</f>
        <v/>
      </c>
      <c r="J24" s="30" t="str">
        <f>IF(A24&lt;&gt;0,IF(OR(IFERROR(roadDV(A24,LOG10(H24)),"")&lt;0,IFERROR(roadDV(A24,LOG10(H24)),"")&gt;100),"數值在範圍外",""),"")</f>
        <v/>
      </c>
      <c r="W24" s="56" t="s">
        <v>40</v>
      </c>
      <c r="X24" s="57"/>
      <c r="Y24" s="57"/>
      <c r="Z24" s="60">
        <f>100-MAX(Z14:Z20)</f>
        <v>73.707541130170483</v>
      </c>
    </row>
    <row r="25" spans="1:29" ht="24.9" customHeight="1" thickBot="1">
      <c r="A25" s="35"/>
      <c r="B25" s="35"/>
      <c r="C25" s="35"/>
      <c r="D25" s="36"/>
      <c r="E25" s="36"/>
      <c r="F25" s="36"/>
      <c r="G25" s="20">
        <f t="shared" si="1"/>
        <v>0</v>
      </c>
      <c r="H25" s="19" t="str">
        <f t="shared" si="2"/>
        <v/>
      </c>
      <c r="I25" s="16" t="str">
        <f>IFERROR(IF(roadDV(A25,LOG10(H25))&lt;0,"",IF(roadDV(A25,LOG10(H25))&gt;100,100,roadDV(A25,LOG10(H25)))),"")</f>
        <v/>
      </c>
      <c r="J25" s="30" t="str">
        <f>IF(A25&lt;&gt;0,IF(OR(IFERROR(roadDV(A25,LOG10(H25)),"")&lt;0,IFERROR(roadDV(A25,LOG10(H25)),"")&gt;100),"數值在範圍外",""),"")</f>
        <v/>
      </c>
      <c r="W25" s="58"/>
      <c r="X25" s="59"/>
      <c r="Y25" s="59"/>
      <c r="Z25" s="61"/>
    </row>
    <row r="26" spans="1:29" ht="24.9" customHeight="1">
      <c r="A26" s="35"/>
      <c r="B26" s="35"/>
      <c r="C26" s="35"/>
      <c r="D26" s="36"/>
      <c r="E26" s="36"/>
      <c r="F26" s="36"/>
      <c r="G26" s="20">
        <f t="shared" si="1"/>
        <v>0</v>
      </c>
      <c r="H26" s="19" t="str">
        <f t="shared" si="2"/>
        <v/>
      </c>
      <c r="I26" s="16" t="str">
        <f>IFERROR(IF(roadDV(A26,LOG10(H26))&lt;0,"",IF(roadDV(A26,LOG10(H26))&gt;100,100,roadDV(A26,LOG10(H26)))),"")</f>
        <v/>
      </c>
      <c r="J26" s="30" t="str">
        <f>IF(A26&lt;&gt;0,IF(OR(IFERROR(roadDV(A26,LOG10(H26)),"")&lt;0,IFERROR(roadDV(A26,LOG10(H26)),"")&gt;100),"數值在範圍外",""),"")</f>
        <v/>
      </c>
      <c r="W26" s="56" t="str">
        <f>VLOOKUP(Z24,$AB$15:$AC$21,2,TRUE)</f>
        <v>很   好</v>
      </c>
      <c r="X26" s="57"/>
      <c r="Y26" s="57"/>
      <c r="Z26" s="62"/>
    </row>
    <row r="27" spans="1:29" ht="24.9" customHeight="1" thickBot="1">
      <c r="A27" s="35"/>
      <c r="B27" s="35"/>
      <c r="C27" s="35"/>
      <c r="D27" s="36"/>
      <c r="E27" s="36"/>
      <c r="F27" s="36"/>
      <c r="G27" s="20">
        <f>SUM(B27:F27)</f>
        <v>0</v>
      </c>
      <c r="H27" s="19" t="str">
        <f t="shared" si="2"/>
        <v/>
      </c>
      <c r="I27" s="16" t="str">
        <f>IFERROR(IF(roadDV(A27,LOG10(H27))&lt;0,"",IF(roadDV(A27,LOG10(H27))&gt;100,100,roadDV(A27,LOG10(H27)))),"")</f>
        <v/>
      </c>
      <c r="J27" s="30" t="str">
        <f>IF(A27&lt;&gt;0,IF(OR(IFERROR(roadDV(A27,LOG10(H27)),"")&lt;0,IFERROR(roadDV(A27,LOG10(H27)),"")&gt;100),"數值在範圍外",""),"")</f>
        <v/>
      </c>
      <c r="W27" s="58"/>
      <c r="X27" s="59"/>
      <c r="Y27" s="59"/>
      <c r="Z27" s="63"/>
    </row>
    <row r="28" spans="1:29" ht="24.9" customHeight="1">
      <c r="A28" s="35"/>
      <c r="B28" s="35"/>
      <c r="C28" s="35"/>
      <c r="D28" s="36"/>
      <c r="E28" s="36"/>
      <c r="F28" s="36"/>
      <c r="G28" s="20">
        <f>SUM(B28:F28)</f>
        <v>0</v>
      </c>
      <c r="H28" s="19" t="str">
        <f t="shared" si="2"/>
        <v/>
      </c>
      <c r="I28" s="16" t="str">
        <f>IFERROR(IF(roadDV(A28,LOG10(H28))&lt;0,"",IF(roadDV(A28,LOG10(H28))&gt;100,100,roadDV(A28,LOG10(H28)))),"")</f>
        <v/>
      </c>
      <c r="J28" s="30" t="str">
        <f>IF(A28&lt;&gt;0,IF(OR(IFERROR(roadDV(A28,LOG10(H28)),"")&lt;0,IFERROR(roadDV(A28,LOG10(H28)),"")&gt;100),"數值在範圍外",""),"")</f>
        <v/>
      </c>
    </row>
    <row r="29" spans="1:29" ht="24.9" customHeight="1">
      <c r="A29" s="37"/>
      <c r="B29" s="37"/>
      <c r="C29" s="37"/>
      <c r="D29" s="37"/>
      <c r="E29" s="37"/>
      <c r="F29" s="37"/>
      <c r="G29" s="20">
        <f t="shared" si="1"/>
        <v>0</v>
      </c>
      <c r="H29" s="19" t="str">
        <f t="shared" si="2"/>
        <v/>
      </c>
      <c r="I29" s="16" t="str">
        <f>IFERROR(IF(roadDV(A29,LOG10(H29))&lt;0,"",IF(roadDV(A29,LOG10(H29))&gt;100,100,roadDV(A29,LOG10(H29)))),"")</f>
        <v/>
      </c>
      <c r="J29" s="30" t="str">
        <f>IF(A29&lt;&gt;0,IF(OR(IFERROR(roadDV(A29,LOG10(H29)),"")&lt;0,IFERROR(roadDV(A29,LOG10(H29)),"")&gt;100),"數值在範圍外",""),"")</f>
        <v/>
      </c>
    </row>
    <row r="30" spans="1:29" ht="24.9" customHeight="1">
      <c r="A30" s="37"/>
      <c r="B30" s="37"/>
      <c r="C30" s="37"/>
      <c r="D30" s="37"/>
      <c r="E30" s="37"/>
      <c r="F30" s="37"/>
      <c r="G30" s="20">
        <f t="shared" si="1"/>
        <v>0</v>
      </c>
      <c r="H30" s="19" t="str">
        <f t="shared" si="2"/>
        <v/>
      </c>
      <c r="I30" s="16" t="str">
        <f>IFERROR(IF(roadDV(A30,LOG10(H30))&lt;0,"",IF(roadDV(A30,LOG10(H30))&gt;100,100,roadDV(A30,LOG10(H30)))),"")</f>
        <v/>
      </c>
      <c r="J30" s="30" t="str">
        <f>IF(A30&lt;&gt;0,IF(OR(IFERROR(roadDV(A30,LOG10(H30)),"")&lt;0,IFERROR(roadDV(A30,LOG10(H30)),"")&gt;100),"數值在範圍外",""),"")</f>
        <v/>
      </c>
    </row>
    <row r="31" spans="1:29" ht="24.9" customHeight="1">
      <c r="A31" s="37"/>
      <c r="B31" s="37"/>
      <c r="C31" s="37"/>
      <c r="D31" s="37"/>
      <c r="E31" s="37"/>
      <c r="F31" s="37"/>
      <c r="G31" s="20">
        <f t="shared" si="1"/>
        <v>0</v>
      </c>
      <c r="H31" s="19" t="str">
        <f t="shared" si="2"/>
        <v/>
      </c>
      <c r="I31" s="16" t="str">
        <f>IFERROR(IF(roadDV(A31,LOG10(H31))&lt;0,"",IF(roadDV(A31,LOG10(H31))&gt;100,100,roadDV(A31,LOG10(H31)))),"")</f>
        <v/>
      </c>
      <c r="J31" s="30" t="str">
        <f>IF(A31&lt;&gt;0,IF(OR(IFERROR(roadDV(A31,LOG10(H31)),"")&lt;0,IFERROR(roadDV(A31,LOG10(H31)),"")&gt;100),"數值在範圍外",""),"")</f>
        <v/>
      </c>
    </row>
    <row r="32" spans="1:29" ht="24.9" customHeight="1">
      <c r="A32" s="1"/>
      <c r="B32" s="1"/>
      <c r="C32" s="1"/>
      <c r="D32" s="1"/>
      <c r="E32" s="1"/>
      <c r="F32" s="1"/>
      <c r="G32" s="1"/>
      <c r="H32" s="26">
        <f>IF(SUM(H13:H31)&gt;100,"輸入錯誤",SUM(H13:H31))</f>
        <v>4.9466666666666672</v>
      </c>
      <c r="I32" s="1"/>
      <c r="J32" s="24" t="s">
        <v>28</v>
      </c>
      <c r="K32" s="17">
        <f>MAX(I13:I31)</f>
        <v>24.292458869829517</v>
      </c>
    </row>
    <row r="33" spans="1:19" ht="24.9" customHeight="1">
      <c r="A33" s="1"/>
      <c r="B33" s="1"/>
      <c r="C33" s="1"/>
      <c r="D33" s="1"/>
      <c r="E33" s="1"/>
      <c r="F33" s="1"/>
      <c r="G33" s="1"/>
      <c r="H33" s="1"/>
      <c r="I33" s="1"/>
      <c r="J33" s="24" t="s">
        <v>29</v>
      </c>
      <c r="K33" s="18">
        <f>ROUNDUP(1+(9/98)*(100-K32),0)</f>
        <v>8</v>
      </c>
      <c r="L33" t="s">
        <v>38</v>
      </c>
    </row>
    <row r="34" spans="1:19" ht="24.9" customHeight="1">
      <c r="A34" s="1"/>
      <c r="B34" s="1"/>
      <c r="C34" s="1"/>
      <c r="D34" s="1"/>
      <c r="E34" s="1"/>
      <c r="F34" s="1"/>
      <c r="G34" s="1"/>
      <c r="H34" s="1"/>
      <c r="I34" s="1"/>
      <c r="J34" s="24" t="s">
        <v>39</v>
      </c>
      <c r="K34" s="17">
        <f>IF(OR(K33&gt;10,K33=10),"10",IF(COUNT(I13:I31)&lt;K33,COUNT(I13:I31),K33))</f>
        <v>2</v>
      </c>
    </row>
    <row r="35" spans="1:19" ht="24.9" customHeight="1">
      <c r="A35" s="1"/>
      <c r="B35" s="1"/>
      <c r="C35" s="1"/>
      <c r="D35" s="1"/>
      <c r="E35" s="1"/>
      <c r="F35" s="1"/>
      <c r="G35" s="1"/>
      <c r="H35" s="1"/>
      <c r="I35" s="1"/>
      <c r="L35" s="55" t="s">
        <v>37</v>
      </c>
      <c r="M35" s="55"/>
      <c r="N35" s="55"/>
      <c r="O35" s="55"/>
      <c r="P35" s="55"/>
      <c r="Q35" s="55"/>
      <c r="R35" s="38"/>
      <c r="S35" s="38"/>
    </row>
    <row r="36" spans="1:19" ht="20.100000000000001" customHeight="1">
      <c r="A36" s="1"/>
      <c r="B36" s="1"/>
      <c r="C36" s="1"/>
      <c r="D36" s="1"/>
      <c r="E36" s="1"/>
      <c r="F36" s="1"/>
      <c r="G36" s="1"/>
      <c r="H36" s="1"/>
      <c r="I36" s="1"/>
      <c r="L36" s="55"/>
      <c r="M36" s="55"/>
      <c r="N36" s="55"/>
      <c r="O36" s="55"/>
      <c r="P36" s="55"/>
      <c r="Q36" s="55"/>
      <c r="R36" s="38"/>
      <c r="S36" s="38"/>
    </row>
    <row r="37" spans="1:19" ht="20.100000000000001" customHeight="1">
      <c r="A37" s="1"/>
      <c r="B37" s="1"/>
      <c r="C37" s="1"/>
      <c r="D37" s="1"/>
      <c r="E37" s="1"/>
      <c r="F37" s="1"/>
      <c r="G37" s="1"/>
      <c r="H37" s="1"/>
      <c r="I37" s="1"/>
      <c r="L37" s="39" t="s">
        <v>48</v>
      </c>
      <c r="M37" s="38"/>
      <c r="N37" s="38"/>
      <c r="O37" s="38"/>
      <c r="P37" s="38"/>
      <c r="Q37" s="38"/>
      <c r="R37" s="38"/>
      <c r="S37" s="38"/>
    </row>
    <row r="38" spans="1:19" ht="20.100000000000001" customHeight="1">
      <c r="A38" s="1"/>
      <c r="B38" s="1"/>
      <c r="C38" s="1"/>
      <c r="D38" s="1"/>
      <c r="E38" s="1"/>
      <c r="F38" s="1"/>
      <c r="G38" s="1"/>
      <c r="H38" s="1"/>
      <c r="I38" s="1"/>
      <c r="L38" s="38"/>
      <c r="M38" s="38"/>
      <c r="N38" s="38"/>
      <c r="O38" s="38"/>
      <c r="P38" s="38"/>
      <c r="Q38" s="38"/>
      <c r="R38" s="38"/>
      <c r="S38" s="38"/>
    </row>
    <row r="39" spans="1:19" ht="20.100000000000001" customHeight="1">
      <c r="A39" s="1"/>
      <c r="B39" s="1"/>
      <c r="C39" s="1"/>
      <c r="D39" s="1"/>
      <c r="E39" s="1"/>
      <c r="F39" s="1"/>
      <c r="G39" s="1"/>
      <c r="H39" s="1"/>
      <c r="I39" s="1"/>
      <c r="L39" s="38"/>
      <c r="M39" s="38"/>
      <c r="N39" s="38"/>
      <c r="O39" s="38"/>
      <c r="P39" s="38"/>
      <c r="Q39" s="38"/>
      <c r="R39" s="38"/>
      <c r="S39" s="38"/>
    </row>
    <row r="40" spans="1:19" ht="20.100000000000001" customHeight="1">
      <c r="A40" s="1"/>
      <c r="B40" s="1"/>
      <c r="C40" s="1"/>
      <c r="D40" s="1"/>
      <c r="E40" s="1"/>
      <c r="F40" s="1"/>
      <c r="G40" s="1"/>
      <c r="H40" s="1"/>
      <c r="I40" s="1"/>
      <c r="L40" s="38"/>
      <c r="M40" s="38"/>
      <c r="N40" s="38"/>
      <c r="O40" s="38"/>
      <c r="P40" s="38"/>
      <c r="Q40" s="38"/>
      <c r="R40" s="38"/>
      <c r="S40" s="38"/>
    </row>
    <row r="41" spans="1:19" ht="20.100000000000001" customHeight="1">
      <c r="A41" s="1"/>
      <c r="B41" s="1"/>
      <c r="C41" s="1"/>
      <c r="D41" s="1"/>
      <c r="E41" s="1"/>
      <c r="F41" s="1"/>
      <c r="G41" s="1"/>
      <c r="H41" s="1"/>
      <c r="I41" s="1"/>
      <c r="L41" s="38"/>
      <c r="M41" s="38"/>
      <c r="N41" s="38"/>
      <c r="O41" s="38"/>
      <c r="P41" s="38"/>
      <c r="Q41" s="38"/>
      <c r="R41" s="38"/>
      <c r="S41" s="38"/>
    </row>
    <row r="42" spans="1:19">
      <c r="A42" s="1"/>
      <c r="B42" s="1"/>
      <c r="C42" s="1"/>
      <c r="D42" s="1"/>
      <c r="E42" s="1"/>
      <c r="F42" s="1"/>
      <c r="G42" s="1"/>
      <c r="H42" s="1"/>
      <c r="I42" s="1"/>
    </row>
  </sheetData>
  <mergeCells count="10">
    <mergeCell ref="W24:Y25"/>
    <mergeCell ref="Z24:Z25"/>
    <mergeCell ref="W26:Z27"/>
    <mergeCell ref="N13:W13"/>
    <mergeCell ref="B12:F12"/>
    <mergeCell ref="A6:I6"/>
    <mergeCell ref="A1:F1"/>
    <mergeCell ref="G1:I5"/>
    <mergeCell ref="D3:E3"/>
    <mergeCell ref="L35:Q36"/>
  </mergeCells>
  <phoneticPr fontId="11" type="noConversion"/>
  <hyperlinks>
    <hyperlink ref="L37" r:id="rId1" xr:uid="{EA28BA26-E94B-497D-9DAB-3C15B0DDB74F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jan0004</cp:lastModifiedBy>
  <cp:lastPrinted>2019-12-01T15:25:21Z</cp:lastPrinted>
  <dcterms:created xsi:type="dcterms:W3CDTF">2019-12-01T14:44:36Z</dcterms:created>
  <dcterms:modified xsi:type="dcterms:W3CDTF">2019-12-19T17:54:23Z</dcterms:modified>
</cp:coreProperties>
</file>